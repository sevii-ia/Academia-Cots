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MR1\Downloads\"/>
    </mc:Choice>
  </mc:AlternateContent>
  <bookViews>
    <workbookView xWindow="0" yWindow="0" windowWidth="20490" windowHeight="7755" activeTab="2"/>
  </bookViews>
  <sheets>
    <sheet name="BD VENDEDORES" sheetId="3" r:id="rId1"/>
    <sheet name="BD ARTICULOS" sheetId="2" r:id="rId2"/>
    <sheet name="ticket de caja (2)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4" l="1"/>
  <c r="D10" i="4"/>
  <c r="D11" i="4"/>
  <c r="D12" i="4"/>
  <c r="D19" i="4" s="1"/>
  <c r="D13" i="4"/>
  <c r="D14" i="4"/>
  <c r="D15" i="4"/>
  <c r="D16" i="4"/>
  <c r="D17" i="4"/>
  <c r="D18" i="4"/>
  <c r="D8" i="4"/>
  <c r="C9" i="4"/>
  <c r="C10" i="4"/>
  <c r="C11" i="4"/>
  <c r="C12" i="4"/>
  <c r="C13" i="4"/>
  <c r="C14" i="4"/>
  <c r="C15" i="4"/>
  <c r="C16" i="4"/>
  <c r="C17" i="4"/>
  <c r="C18" i="4"/>
  <c r="C8" i="4"/>
  <c r="D4" i="4"/>
  <c r="B4" i="4"/>
  <c r="G35" i="2"/>
  <c r="G34" i="2"/>
  <c r="G33" i="2"/>
  <c r="G32" i="2"/>
  <c r="G31" i="2"/>
  <c r="G30" i="2"/>
  <c r="G28" i="2"/>
  <c r="G29" i="2"/>
  <c r="G27" i="2"/>
  <c r="G26" i="2"/>
  <c r="D23" i="4" l="1"/>
  <c r="D25" i="4" s="1"/>
  <c r="D29" i="4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" i="2"/>
</calcChain>
</file>

<file path=xl/sharedStrings.xml><?xml version="1.0" encoding="utf-8"?>
<sst xmlns="http://schemas.openxmlformats.org/spreadsheetml/2006/main" count="132" uniqueCount="99">
  <si>
    <t>TICKET DE CAJA</t>
  </si>
  <si>
    <t>Cód_vendedor:</t>
  </si>
  <si>
    <t>CIF/NIF:</t>
  </si>
  <si>
    <t>Código Artículo</t>
  </si>
  <si>
    <t>Cantidad</t>
  </si>
  <si>
    <t>Precio €</t>
  </si>
  <si>
    <t>Importe</t>
  </si>
  <si>
    <t>SUBTOTAL</t>
  </si>
  <si>
    <t>FORMA DE PAGO</t>
  </si>
  <si>
    <t>DESCUENTO</t>
  </si>
  <si>
    <t>TOTAL €</t>
  </si>
  <si>
    <t>ENTREGA</t>
  </si>
  <si>
    <t>CAMBIO</t>
  </si>
  <si>
    <t>(Firma del Cliente)</t>
  </si>
  <si>
    <t>GRACIAS POR SU VISITA</t>
  </si>
  <si>
    <t>Código</t>
  </si>
  <si>
    <t>DESCRIPCIÓN</t>
  </si>
  <si>
    <t>DEPARTAMENTO</t>
  </si>
  <si>
    <t>STOCK</t>
  </si>
  <si>
    <t>CANTIDAD VENDIDA</t>
  </si>
  <si>
    <t>DIPONIBILIDAD</t>
  </si>
  <si>
    <t>Precio Unitario</t>
  </si>
  <si>
    <t>TV</t>
  </si>
  <si>
    <t>Electronica</t>
  </si>
  <si>
    <t>AURICULARES</t>
  </si>
  <si>
    <t>MESA</t>
  </si>
  <si>
    <t>Hogar</t>
  </si>
  <si>
    <t>ZAPATOS</t>
  </si>
  <si>
    <t>Moda</t>
  </si>
  <si>
    <t>SILLA</t>
  </si>
  <si>
    <t>MOVIL</t>
  </si>
  <si>
    <t>PANTALON</t>
  </si>
  <si>
    <t>Cuenta los artículos de la columna DESCRIPCION</t>
  </si>
  <si>
    <t>Nº de Artículos del departamento de Electrónica</t>
  </si>
  <si>
    <t>Nº Articulos de moda con stock superiores o iguales a 10</t>
  </si>
  <si>
    <t>Nº de artículos que no están disponibles</t>
  </si>
  <si>
    <t>Suma las unidades de articulos de moda</t>
  </si>
  <si>
    <t>Máximo stock</t>
  </si>
  <si>
    <t>COD VENDEDOR</t>
  </si>
  <si>
    <t xml:space="preserve">NOMBRE </t>
  </si>
  <si>
    <t>APELLIDOS</t>
  </si>
  <si>
    <t>ISABEL</t>
  </si>
  <si>
    <t>GARCIA</t>
  </si>
  <si>
    <t>ANTONIO</t>
  </si>
  <si>
    <t>SUAREZ</t>
  </si>
  <si>
    <t>JAVIER</t>
  </si>
  <si>
    <t>SANCHEZ</t>
  </si>
  <si>
    <t>JORGE</t>
  </si>
  <si>
    <t>ANGOSTO</t>
  </si>
  <si>
    <t>PEDRO</t>
  </si>
  <si>
    <t>Placa Base</t>
  </si>
  <si>
    <t>Microprocesador</t>
  </si>
  <si>
    <t>Fuente de Alimentación</t>
  </si>
  <si>
    <t>Ventilador</t>
  </si>
  <si>
    <t>Chipsets</t>
  </si>
  <si>
    <t>Tarjeta Gráfica</t>
  </si>
  <si>
    <t>Tarjeta de video</t>
  </si>
  <si>
    <t>Altavoces</t>
  </si>
  <si>
    <t>Memoria RAM 4Gb</t>
  </si>
  <si>
    <t>Memoria RAM 8Gb</t>
  </si>
  <si>
    <t>Informática</t>
  </si>
  <si>
    <t>Manteles</t>
  </si>
  <si>
    <t>Servilletas</t>
  </si>
  <si>
    <t>Sábanas</t>
  </si>
  <si>
    <t>Disco Duro</t>
  </si>
  <si>
    <t>Artículo más caro</t>
  </si>
  <si>
    <t>Artículo más barato</t>
  </si>
  <si>
    <t>Media de stock de los artículos de informatica</t>
  </si>
  <si>
    <t>Total de cantidades vendidas de los artículos de informática y electrónica</t>
  </si>
  <si>
    <t>Fecha compra:</t>
  </si>
  <si>
    <t>NOMBRE</t>
  </si>
  <si>
    <t>ERNESTO</t>
  </si>
  <si>
    <t>PERZ</t>
  </si>
  <si>
    <t>MARTINEZ</t>
  </si>
  <si>
    <t>ADRIAN</t>
  </si>
  <si>
    <t>RICO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</si>
  <si>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</si>
  <si>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</si>
  <si>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</si>
  <si>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</si>
  <si>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</si>
  <si>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</si>
  <si>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</si>
  <si>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</si>
  <si>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</si>
  <si>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</si>
  <si>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</si>
  <si>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</si>
  <si>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</si>
  <si>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</si>
  <si>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</si>
  <si>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</si>
  <si>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</si>
  <si>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</si>
  <si>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</si>
  <si>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</si>
  <si>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</si>
  <si>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</si>
  <si>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CONTADO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</si>
</sst>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000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Arial"/>
      <family val="2"/>
    </font>
    <font>
      <b/>
      <sz val="16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 tint="-0.24994659260841701"/>
      </left>
      <right style="dotted">
        <color theme="9" tint="-0.24994659260841701"/>
      </right>
      <top style="thick">
        <color theme="9" tint="-0.24994659260841701"/>
      </top>
      <bottom style="dotted">
        <color theme="9" tint="-0.24994659260841701"/>
      </bottom>
      <diagonal/>
    </border>
    <border>
      <left style="dotted">
        <color theme="9" tint="-0.24994659260841701"/>
      </left>
      <right style="dotted">
        <color theme="9" tint="-0.24994659260841701"/>
      </right>
      <top style="thick">
        <color theme="9" tint="-0.24994659260841701"/>
      </top>
      <bottom style="dotted">
        <color theme="9" tint="-0.24994659260841701"/>
      </bottom>
      <diagonal/>
    </border>
    <border>
      <left style="dotted">
        <color theme="9" tint="-0.24994659260841701"/>
      </left>
      <right style="thick">
        <color theme="9" tint="-0.24994659260841701"/>
      </right>
      <top style="thick">
        <color theme="9" tint="-0.24994659260841701"/>
      </top>
      <bottom style="dotted">
        <color theme="9" tint="-0.24994659260841701"/>
      </bottom>
      <diagonal/>
    </border>
    <border>
      <left style="thick">
        <color theme="9" tint="-0.24994659260841701"/>
      </left>
      <right style="dotted">
        <color theme="9" tint="-0.24994659260841701"/>
      </right>
      <top style="dotted">
        <color theme="9" tint="-0.24994659260841701"/>
      </top>
      <bottom style="dotted">
        <color theme="9" tint="-0.24994659260841701"/>
      </bottom>
      <diagonal/>
    </border>
    <border>
      <left style="dotted">
        <color theme="9" tint="-0.24994659260841701"/>
      </left>
      <right style="dotted">
        <color theme="9" tint="-0.24994659260841701"/>
      </right>
      <top style="dotted">
        <color theme="9" tint="-0.24994659260841701"/>
      </top>
      <bottom style="dotted">
        <color theme="9" tint="-0.24994659260841701"/>
      </bottom>
      <diagonal/>
    </border>
    <border>
      <left style="dotted">
        <color theme="9" tint="-0.24994659260841701"/>
      </left>
      <right style="thick">
        <color theme="9" tint="-0.24994659260841701"/>
      </right>
      <top style="dotted">
        <color theme="9" tint="-0.24994659260841701"/>
      </top>
      <bottom style="dotted">
        <color theme="9" tint="-0.24994659260841701"/>
      </bottom>
      <diagonal/>
    </border>
    <border>
      <left style="dotted">
        <color theme="9" tint="-0.24994659260841701"/>
      </left>
      <right style="dotted">
        <color theme="9" tint="-0.24994659260841701"/>
      </right>
      <top style="dotted">
        <color theme="9" tint="-0.24994659260841701"/>
      </top>
      <bottom style="thick">
        <color theme="9" tint="-0.24994659260841701"/>
      </bottom>
      <diagonal/>
    </border>
    <border>
      <left style="dotted">
        <color theme="9" tint="-0.24994659260841701"/>
      </left>
      <right style="thick">
        <color theme="9" tint="-0.24994659260841701"/>
      </right>
      <top style="dotted">
        <color theme="9" tint="-0.24994659260841701"/>
      </top>
      <bottom style="thick">
        <color theme="9" tint="-0.24994659260841701"/>
      </bottom>
      <diagonal/>
    </border>
    <border>
      <left style="thick">
        <color rgb="FF00B050"/>
      </left>
      <right style="dotted">
        <color rgb="FF00B050"/>
      </right>
      <top style="thick">
        <color rgb="FF00B050"/>
      </top>
      <bottom style="dotted">
        <color rgb="FF00B050"/>
      </bottom>
      <diagonal/>
    </border>
    <border>
      <left style="dotted">
        <color rgb="FF00B050"/>
      </left>
      <right style="dotted">
        <color rgb="FF00B050"/>
      </right>
      <top style="thick">
        <color rgb="FF00B050"/>
      </top>
      <bottom style="dotted">
        <color rgb="FF00B050"/>
      </bottom>
      <diagonal/>
    </border>
    <border>
      <left style="dotted">
        <color rgb="FF00B050"/>
      </left>
      <right style="thick">
        <color rgb="FF00B050"/>
      </right>
      <top style="thick">
        <color rgb="FF00B050"/>
      </top>
      <bottom style="dotted">
        <color rgb="FF00B050"/>
      </bottom>
      <diagonal/>
    </border>
    <border>
      <left style="thick">
        <color rgb="FF00B050"/>
      </left>
      <right style="dotted">
        <color rgb="FF00B050"/>
      </right>
      <top style="dotted">
        <color rgb="FF00B050"/>
      </top>
      <bottom style="dotted">
        <color rgb="FF00B050"/>
      </bottom>
      <diagonal/>
    </border>
    <border>
      <left style="dotted">
        <color rgb="FF00B050"/>
      </left>
      <right style="dotted">
        <color rgb="FF00B050"/>
      </right>
      <top style="dotted">
        <color rgb="FF00B050"/>
      </top>
      <bottom style="dotted">
        <color rgb="FF00B050"/>
      </bottom>
      <diagonal/>
    </border>
    <border>
      <left style="dotted">
        <color rgb="FF00B050"/>
      </left>
      <right style="thick">
        <color rgb="FF00B050"/>
      </right>
      <top style="dotted">
        <color rgb="FF00B050"/>
      </top>
      <bottom style="dotted">
        <color rgb="FF00B050"/>
      </bottom>
      <diagonal/>
    </border>
    <border>
      <left style="dotted">
        <color rgb="FF00B050"/>
      </left>
      <right style="dotted">
        <color rgb="FF00B050"/>
      </right>
      <top style="dotted">
        <color rgb="FF00B050"/>
      </top>
      <bottom style="thick">
        <color rgb="FF00B050"/>
      </bottom>
      <diagonal/>
    </border>
    <border>
      <left style="dotted">
        <color rgb="FF00B050"/>
      </left>
      <right style="thick">
        <color rgb="FF00B050"/>
      </right>
      <top style="dotted">
        <color rgb="FF00B050"/>
      </top>
      <bottom style="thick">
        <color rgb="FF00B050"/>
      </bottom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/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thick">
        <color rgb="FF0070C0"/>
      </right>
      <top style="thin">
        <color rgb="FF0070C0"/>
      </top>
      <bottom style="hair">
        <color rgb="FF0070C0"/>
      </bottom>
      <diagonal/>
    </border>
    <border>
      <left style="thick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thick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hair">
        <color rgb="FF0070C0"/>
      </top>
      <bottom style="hair">
        <color rgb="FF0070C0"/>
      </bottom>
      <diagonal/>
    </border>
    <border>
      <left style="thick">
        <color rgb="FF0070C0"/>
      </left>
      <right style="thick">
        <color rgb="FF0070C0"/>
      </right>
      <top style="hair">
        <color rgb="FF0070C0"/>
      </top>
      <bottom style="thick">
        <color rgb="FF0070C0"/>
      </bottom>
      <diagonal/>
    </border>
    <border>
      <left style="medium">
        <color theme="9" tint="0.39994506668294322"/>
      </left>
      <right style="medium">
        <color theme="9" tint="0.39994506668294322"/>
      </right>
      <top style="medium">
        <color theme="9" tint="0.39994506668294322"/>
      </top>
      <bottom style="medium">
        <color theme="9" tint="0.39994506668294322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" fillId="0" borderId="0"/>
  </cellStyleXfs>
  <cellXfs count="79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center" vertical="center" wrapText="1"/>
    </xf>
    <xf numFmtId="0" fontId="6" fillId="0" borderId="5" xfId="0" applyFont="1" applyFill="1" applyBorder="1" applyAlignment="1"/>
    <xf numFmtId="0" fontId="6" fillId="0" borderId="6" xfId="0" applyFont="1" applyFill="1" applyBorder="1" applyAlignment="1"/>
    <xf numFmtId="0" fontId="6" fillId="0" borderId="6" xfId="0" applyFont="1" applyFill="1" applyBorder="1" applyAlignment="1">
      <alignment horizontal="center"/>
    </xf>
    <xf numFmtId="44" fontId="6" fillId="0" borderId="7" xfId="2" applyFont="1" applyFill="1" applyBorder="1" applyAlignment="1"/>
    <xf numFmtId="0" fontId="7" fillId="0" borderId="0" xfId="0" applyFont="1"/>
    <xf numFmtId="0" fontId="6" fillId="0" borderId="8" xfId="0" applyFont="1" applyFill="1" applyBorder="1" applyAlignment="1"/>
    <xf numFmtId="0" fontId="6" fillId="0" borderId="8" xfId="0" applyFont="1" applyFill="1" applyBorder="1" applyAlignment="1">
      <alignment horizontal="center"/>
    </xf>
    <xf numFmtId="44" fontId="6" fillId="0" borderId="9" xfId="2" applyFont="1" applyFill="1" applyBorder="1" applyAlignment="1"/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/>
    <xf numFmtId="0" fontId="6" fillId="0" borderId="0" xfId="0" applyFont="1" applyAlignment="1">
      <alignment horizontal="right"/>
    </xf>
    <xf numFmtId="0" fontId="8" fillId="0" borderId="0" xfId="3" applyFont="1"/>
    <xf numFmtId="0" fontId="2" fillId="2" borderId="10" xfId="3" applyFont="1" applyFill="1" applyBorder="1" applyAlignment="1">
      <alignment horizontal="center" vertical="center" wrapText="1"/>
    </xf>
    <xf numFmtId="0" fontId="2" fillId="2" borderId="11" xfId="3" applyFont="1" applyFill="1" applyBorder="1" applyAlignment="1">
      <alignment horizontal="center" vertical="center" wrapText="1"/>
    </xf>
    <xf numFmtId="0" fontId="2" fillId="2" borderId="12" xfId="3" applyFont="1" applyFill="1" applyBorder="1" applyAlignment="1">
      <alignment horizontal="center" vertical="center" wrapText="1"/>
    </xf>
    <xf numFmtId="164" fontId="6" fillId="0" borderId="13" xfId="3" applyNumberFormat="1" applyFont="1" applyFill="1" applyBorder="1" applyAlignment="1">
      <alignment horizontal="center"/>
    </xf>
    <xf numFmtId="0" fontId="6" fillId="0" borderId="14" xfId="3" applyFont="1" applyFill="1" applyBorder="1"/>
    <xf numFmtId="1" fontId="6" fillId="0" borderId="15" xfId="3" applyNumberFormat="1" applyFont="1" applyFill="1" applyBorder="1"/>
    <xf numFmtId="0" fontId="6" fillId="0" borderId="16" xfId="3" applyFont="1" applyFill="1" applyBorder="1"/>
    <xf numFmtId="1" fontId="6" fillId="0" borderId="17" xfId="3" applyNumberFormat="1" applyFont="1" applyFill="1" applyBorder="1"/>
    <xf numFmtId="0" fontId="6" fillId="0" borderId="0" xfId="3" applyFont="1"/>
    <xf numFmtId="0" fontId="6" fillId="0" borderId="0" xfId="0" applyFont="1" applyFill="1" applyBorder="1" applyAlignment="1">
      <alignment horizontal="right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 applyAlignment="1"/>
    <xf numFmtId="0" fontId="6" fillId="0" borderId="18" xfId="0" applyFont="1" applyBorder="1" applyAlignment="1">
      <alignment horizontal="right"/>
    </xf>
    <xf numFmtId="0" fontId="6" fillId="0" borderId="18" xfId="0" applyFont="1" applyBorder="1" applyAlignment="1"/>
    <xf numFmtId="0" fontId="6" fillId="0" borderId="18" xfId="0" applyFont="1" applyBorder="1"/>
    <xf numFmtId="0" fontId="6" fillId="0" borderId="19" xfId="0" applyFont="1" applyBorder="1"/>
    <xf numFmtId="0" fontId="6" fillId="0" borderId="22" xfId="0" applyFont="1" applyBorder="1"/>
    <xf numFmtId="0" fontId="6" fillId="0" borderId="23" xfId="0" applyFont="1" applyBorder="1"/>
    <xf numFmtId="0" fontId="6" fillId="0" borderId="25" xfId="0" applyFont="1" applyBorder="1"/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right" wrapText="1"/>
    </xf>
    <xf numFmtId="0" fontId="6" fillId="3" borderId="0" xfId="0" applyFont="1" applyFill="1" applyBorder="1"/>
    <xf numFmtId="0" fontId="11" fillId="4" borderId="26" xfId="0" applyFont="1" applyFill="1" applyBorder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 vertical="center"/>
    </xf>
    <xf numFmtId="0" fontId="6" fillId="0" borderId="29" xfId="0" applyFont="1" applyBorder="1"/>
    <xf numFmtId="0" fontId="6" fillId="0" borderId="30" xfId="0" applyFont="1" applyBorder="1"/>
    <xf numFmtId="44" fontId="6" fillId="3" borderId="30" xfId="1" applyFont="1" applyFill="1" applyBorder="1"/>
    <xf numFmtId="44" fontId="6" fillId="3" borderId="31" xfId="1" applyFont="1" applyFill="1" applyBorder="1"/>
    <xf numFmtId="0" fontId="6" fillId="0" borderId="32" xfId="0" applyFont="1" applyBorder="1"/>
    <xf numFmtId="0" fontId="6" fillId="0" borderId="33" xfId="0" applyFont="1" applyBorder="1"/>
    <xf numFmtId="44" fontId="6" fillId="3" borderId="33" xfId="1" applyFont="1" applyFill="1" applyBorder="1"/>
    <xf numFmtId="44" fontId="6" fillId="0" borderId="33" xfId="1" applyFont="1" applyFill="1" applyBorder="1"/>
    <xf numFmtId="44" fontId="6" fillId="3" borderId="34" xfId="1" applyFont="1" applyFill="1" applyBorder="1"/>
    <xf numFmtId="0" fontId="6" fillId="0" borderId="33" xfId="0" applyFont="1" applyBorder="1" applyAlignment="1">
      <alignment horizontal="center"/>
    </xf>
    <xf numFmtId="0" fontId="10" fillId="0" borderId="18" xfId="0" applyFont="1" applyFill="1" applyBorder="1"/>
    <xf numFmtId="0" fontId="10" fillId="0" borderId="0" xfId="0" applyFont="1" applyFill="1" applyBorder="1"/>
    <xf numFmtId="0" fontId="10" fillId="0" borderId="19" xfId="0" applyFont="1" applyFill="1" applyBorder="1"/>
    <xf numFmtId="0" fontId="12" fillId="0" borderId="18" xfId="0" applyFont="1" applyFill="1" applyBorder="1" applyAlignment="1">
      <alignment horizontal="right"/>
    </xf>
    <xf numFmtId="0" fontId="6" fillId="0" borderId="0" xfId="0" applyFont="1" applyFill="1" applyBorder="1"/>
    <xf numFmtId="0" fontId="6" fillId="0" borderId="19" xfId="0" applyFont="1" applyFill="1" applyBorder="1"/>
    <xf numFmtId="0" fontId="12" fillId="0" borderId="0" xfId="0" applyFont="1" applyFill="1" applyBorder="1" applyAlignment="1">
      <alignment horizontal="right"/>
    </xf>
    <xf numFmtId="0" fontId="6" fillId="0" borderId="18" xfId="0" applyFont="1" applyFill="1" applyBorder="1"/>
    <xf numFmtId="0" fontId="6" fillId="3" borderId="35" xfId="0" applyFont="1" applyFill="1" applyBorder="1"/>
    <xf numFmtId="0" fontId="6" fillId="3" borderId="19" xfId="0" applyFont="1" applyFill="1" applyBorder="1"/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right"/>
    </xf>
    <xf numFmtId="0" fontId="6" fillId="0" borderId="21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22" xfId="0" applyFont="1" applyBorder="1" applyAlignment="1">
      <alignment horizontal="right"/>
    </xf>
    <xf numFmtId="0" fontId="6" fillId="0" borderId="23" xfId="0" applyFont="1" applyBorder="1" applyAlignment="1">
      <alignment horizontal="right"/>
    </xf>
    <xf numFmtId="44" fontId="0" fillId="0" borderId="1" xfId="0" applyNumberFormat="1" applyBorder="1"/>
    <xf numFmtId="164" fontId="6" fillId="3" borderId="35" xfId="0" applyNumberFormat="1" applyFont="1" applyFill="1" applyBorder="1"/>
  </cellXfs>
  <cellStyles count="4">
    <cellStyle name="Euro" xfId="2"/>
    <cellStyle name="Moneda" xfId="1" builtinId="4"/>
    <cellStyle name="Normal" xfId="0" builtinId="0"/>
    <cellStyle name="Normal 3" xfId="3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2:C13"/>
  <sheetViews>
    <sheetView workbookViewId="0">
      <selection activeCell="H14" sqref="H14"/>
    </sheetView>
  </sheetViews>
  <sheetFormatPr baseColWidth="10" defaultRowHeight="12.75" x14ac:dyDescent="0.2"/>
  <cols>
    <col min="3" max="3" width="14.7109375" customWidth="1"/>
  </cols>
  <sheetData>
    <row r="2" spans="1:3" ht="15" thickBot="1" x14ac:dyDescent="0.25">
      <c r="A2" s="16"/>
      <c r="B2" s="16"/>
      <c r="C2" s="16"/>
    </row>
    <row r="3" spans="1:3" ht="30.75" thickTop="1" x14ac:dyDescent="0.2">
      <c r="A3" s="17" t="s">
        <v>38</v>
      </c>
      <c r="B3" s="18" t="s">
        <v>39</v>
      </c>
      <c r="C3" s="19" t="s">
        <v>40</v>
      </c>
    </row>
    <row r="4" spans="1:3" ht="15" x14ac:dyDescent="0.25">
      <c r="A4" s="20">
        <v>1</v>
      </c>
      <c r="B4" s="21" t="s">
        <v>41</v>
      </c>
      <c r="C4" s="22" t="s">
        <v>42</v>
      </c>
    </row>
    <row r="5" spans="1:3" ht="15" x14ac:dyDescent="0.25">
      <c r="A5" s="20">
        <v>2</v>
      </c>
      <c r="B5" s="21" t="s">
        <v>71</v>
      </c>
      <c r="C5" s="22" t="s">
        <v>72</v>
      </c>
    </row>
    <row r="6" spans="1:3" ht="15" x14ac:dyDescent="0.25">
      <c r="A6" s="20">
        <v>3</v>
      </c>
      <c r="B6" s="21" t="s">
        <v>47</v>
      </c>
      <c r="C6" s="22" t="s">
        <v>73</v>
      </c>
    </row>
    <row r="7" spans="1:3" ht="15" x14ac:dyDescent="0.25">
      <c r="A7" s="20">
        <v>4</v>
      </c>
      <c r="B7" s="21" t="s">
        <v>74</v>
      </c>
      <c r="C7" s="22" t="s">
        <v>75</v>
      </c>
    </row>
    <row r="8" spans="1:3" ht="15" x14ac:dyDescent="0.25">
      <c r="A8" s="20">
        <v>5</v>
      </c>
      <c r="B8" s="21" t="s">
        <v>43</v>
      </c>
      <c r="C8" s="22" t="s">
        <v>44</v>
      </c>
    </row>
    <row r="9" spans="1:3" ht="15" x14ac:dyDescent="0.25">
      <c r="A9" s="20">
        <v>6</v>
      </c>
      <c r="B9" s="21" t="s">
        <v>45</v>
      </c>
      <c r="C9" s="22" t="s">
        <v>46</v>
      </c>
    </row>
    <row r="10" spans="1:3" ht="15" x14ac:dyDescent="0.25">
      <c r="A10" s="20">
        <v>7</v>
      </c>
      <c r="B10" s="21" t="s">
        <v>47</v>
      </c>
      <c r="C10" s="22" t="s">
        <v>48</v>
      </c>
    </row>
    <row r="11" spans="1:3" ht="15.75" thickBot="1" x14ac:dyDescent="0.3">
      <c r="A11" s="20">
        <v>8</v>
      </c>
      <c r="B11" s="23" t="s">
        <v>49</v>
      </c>
      <c r="C11" s="24" t="s">
        <v>46</v>
      </c>
    </row>
    <row r="12" spans="1:3" ht="15.75" thickTop="1" x14ac:dyDescent="0.25">
      <c r="A12" s="25"/>
      <c r="B12" s="25"/>
      <c r="C12" s="25"/>
    </row>
    <row r="13" spans="1:3" ht="15" x14ac:dyDescent="0.25">
      <c r="A13" s="25"/>
      <c r="B13" s="25"/>
      <c r="C13" s="25"/>
    </row>
  </sheetData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L35"/>
  <sheetViews>
    <sheetView workbookViewId="0">
      <selection activeCell="A5" sqref="A5:A13"/>
    </sheetView>
  </sheetViews>
  <sheetFormatPr baseColWidth="10" defaultRowHeight="12.75" x14ac:dyDescent="0.2"/>
  <cols>
    <col min="1" max="1" width="7.5703125" bestFit="1" customWidth="1"/>
    <col min="2" max="2" width="22.5703125" bestFit="1" customWidth="1"/>
    <col min="3" max="3" width="18.42578125" bestFit="1" customWidth="1"/>
    <col min="4" max="4" width="9.7109375" customWidth="1"/>
    <col min="5" max="5" width="12.42578125" bestFit="1" customWidth="1"/>
    <col min="6" max="6" width="14.7109375" customWidth="1"/>
    <col min="7" max="7" width="14.5703125" bestFit="1" customWidth="1"/>
  </cols>
  <sheetData>
    <row r="1" spans="1:12" s="3" customFormat="1" ht="36.75" customHeight="1" thickTop="1" x14ac:dyDescent="0.2">
      <c r="A1" s="37" t="s">
        <v>15</v>
      </c>
      <c r="B1" s="38" t="s">
        <v>16</v>
      </c>
      <c r="C1" s="38" t="s">
        <v>17</v>
      </c>
      <c r="D1" s="38" t="s">
        <v>18</v>
      </c>
      <c r="E1" s="38" t="s">
        <v>19</v>
      </c>
      <c r="F1" s="38" t="s">
        <v>20</v>
      </c>
      <c r="G1" s="39" t="s">
        <v>21</v>
      </c>
    </row>
    <row r="2" spans="1:12" ht="15" x14ac:dyDescent="0.25">
      <c r="A2" s="4" t="s">
        <v>76</v>
      </c>
      <c r="B2" s="5" t="s">
        <v>22</v>
      </c>
      <c r="C2" s="5" t="s">
        <v>23</v>
      </c>
      <c r="D2" s="6">
        <v>1</v>
      </c>
      <c r="E2" s="6">
        <v>2</v>
      </c>
      <c r="F2" s="6">
        <f>IF(D2-E2=0," ",D2-E2)</f>
        <v>-1</v>
      </c>
      <c r="G2" s="7">
        <v>1000</v>
      </c>
    </row>
    <row r="3" spans="1:12" ht="15.75" customHeight="1" x14ac:dyDescent="0.25">
      <c r="A3" s="4" t="s">
        <v>77</v>
      </c>
      <c r="B3" s="5" t="s">
        <v>24</v>
      </c>
      <c r="C3" s="5" t="s">
        <v>23</v>
      </c>
      <c r="D3" s="6">
        <v>20</v>
      </c>
      <c r="E3" s="6">
        <v>1</v>
      </c>
      <c r="F3" s="6">
        <f t="shared" ref="F3:F23" si="0">IF(D3-E3=0," ",D3-E3)</f>
        <v>19</v>
      </c>
      <c r="G3" s="7">
        <v>50</v>
      </c>
    </row>
    <row r="4" spans="1:12" ht="15.75" customHeight="1" x14ac:dyDescent="0.25">
      <c r="A4" s="4" t="s">
        <v>78</v>
      </c>
      <c r="B4" s="5" t="s">
        <v>50</v>
      </c>
      <c r="C4" s="5" t="s">
        <v>60</v>
      </c>
      <c r="D4" s="6">
        <v>5</v>
      </c>
      <c r="E4" s="6">
        <v>4</v>
      </c>
      <c r="F4" s="6">
        <f t="shared" si="0"/>
        <v>1</v>
      </c>
      <c r="G4" s="7">
        <v>30</v>
      </c>
    </row>
    <row r="5" spans="1:12" ht="15" x14ac:dyDescent="0.25">
      <c r="A5" s="4" t="s">
        <v>79</v>
      </c>
      <c r="B5" s="5" t="s">
        <v>25</v>
      </c>
      <c r="C5" s="5" t="s">
        <v>26</v>
      </c>
      <c r="D5" s="6">
        <v>5</v>
      </c>
      <c r="E5" s="6">
        <v>2</v>
      </c>
      <c r="F5" s="6">
        <f t="shared" si="0"/>
        <v>3</v>
      </c>
      <c r="G5" s="7">
        <v>200</v>
      </c>
    </row>
    <row r="6" spans="1:12" ht="15" x14ac:dyDescent="0.25">
      <c r="A6" s="4" t="s">
        <v>80</v>
      </c>
      <c r="B6" s="5" t="s">
        <v>27</v>
      </c>
      <c r="C6" s="5" t="s">
        <v>28</v>
      </c>
      <c r="D6" s="6">
        <v>2</v>
      </c>
      <c r="E6" s="6">
        <v>5</v>
      </c>
      <c r="F6" s="6">
        <f t="shared" si="0"/>
        <v>-3</v>
      </c>
      <c r="G6" s="7">
        <v>50</v>
      </c>
      <c r="L6" s="8"/>
    </row>
    <row r="7" spans="1:12" ht="15" x14ac:dyDescent="0.25">
      <c r="A7" s="4" t="s">
        <v>81</v>
      </c>
      <c r="B7" s="5" t="s">
        <v>61</v>
      </c>
      <c r="C7" s="5" t="s">
        <v>26</v>
      </c>
      <c r="D7" s="6">
        <v>21</v>
      </c>
      <c r="E7" s="6">
        <v>2</v>
      </c>
      <c r="F7" s="6">
        <f t="shared" si="0"/>
        <v>19</v>
      </c>
      <c r="G7" s="7">
        <v>20</v>
      </c>
      <c r="L7" s="8"/>
    </row>
    <row r="8" spans="1:12" ht="15" x14ac:dyDescent="0.25">
      <c r="A8" s="4" t="s">
        <v>82</v>
      </c>
      <c r="B8" s="5" t="s">
        <v>62</v>
      </c>
      <c r="C8" s="5" t="s">
        <v>26</v>
      </c>
      <c r="D8" s="6">
        <v>21</v>
      </c>
      <c r="E8" s="6">
        <v>2</v>
      </c>
      <c r="F8" s="6">
        <f t="shared" si="0"/>
        <v>19</v>
      </c>
      <c r="G8" s="7">
        <v>5</v>
      </c>
      <c r="L8" s="8"/>
    </row>
    <row r="9" spans="1:12" ht="15" x14ac:dyDescent="0.25">
      <c r="A9" s="4" t="s">
        <v>83</v>
      </c>
      <c r="B9" s="5" t="s">
        <v>63</v>
      </c>
      <c r="C9" s="5" t="s">
        <v>26</v>
      </c>
      <c r="D9" s="6">
        <v>32</v>
      </c>
      <c r="E9" s="6">
        <v>5</v>
      </c>
      <c r="F9" s="6">
        <f t="shared" si="0"/>
        <v>27</v>
      </c>
      <c r="G9" s="7">
        <v>45</v>
      </c>
      <c r="L9" s="8"/>
    </row>
    <row r="10" spans="1:12" ht="15" x14ac:dyDescent="0.25">
      <c r="A10" s="4" t="s">
        <v>84</v>
      </c>
      <c r="B10" s="5" t="s">
        <v>64</v>
      </c>
      <c r="C10" s="5" t="s">
        <v>60</v>
      </c>
      <c r="D10" s="6">
        <v>45</v>
      </c>
      <c r="E10" s="6">
        <v>23</v>
      </c>
      <c r="F10" s="6">
        <f t="shared" si="0"/>
        <v>22</v>
      </c>
      <c r="G10" s="7">
        <v>35</v>
      </c>
      <c r="L10" s="8"/>
    </row>
    <row r="11" spans="1:12" ht="15" x14ac:dyDescent="0.25">
      <c r="A11" s="4" t="s">
        <v>85</v>
      </c>
      <c r="B11" s="5" t="s">
        <v>57</v>
      </c>
      <c r="C11" s="5" t="s">
        <v>23</v>
      </c>
      <c r="D11" s="6">
        <v>23</v>
      </c>
      <c r="E11" s="6">
        <v>4</v>
      </c>
      <c r="F11" s="6">
        <f t="shared" si="0"/>
        <v>19</v>
      </c>
      <c r="G11" s="7">
        <v>37</v>
      </c>
      <c r="L11" s="8"/>
    </row>
    <row r="12" spans="1:12" ht="15" x14ac:dyDescent="0.25">
      <c r="A12" s="4" t="s">
        <v>86</v>
      </c>
      <c r="B12" s="5" t="s">
        <v>24</v>
      </c>
      <c r="C12" s="5" t="s">
        <v>23</v>
      </c>
      <c r="D12" s="6">
        <v>6</v>
      </c>
      <c r="E12" s="6">
        <v>3</v>
      </c>
      <c r="F12" s="6">
        <f t="shared" si="0"/>
        <v>3</v>
      </c>
      <c r="G12" s="7">
        <v>65</v>
      </c>
      <c r="L12" s="8"/>
    </row>
    <row r="13" spans="1:12" ht="15.75" customHeight="1" x14ac:dyDescent="0.25">
      <c r="A13" s="4" t="s">
        <v>87</v>
      </c>
      <c r="B13" s="5" t="s">
        <v>58</v>
      </c>
      <c r="C13" s="5" t="s">
        <v>60</v>
      </c>
      <c r="D13" s="6">
        <v>3</v>
      </c>
      <c r="E13" s="6">
        <v>7</v>
      </c>
      <c r="F13" s="6">
        <f t="shared" si="0"/>
        <v>-4</v>
      </c>
      <c r="G13" s="7">
        <v>30</v>
      </c>
    </row>
    <row r="14" spans="1:12" ht="15.75" customHeight="1" x14ac:dyDescent="0.25">
      <c r="A14" s="4" t="s">
        <v>88</v>
      </c>
      <c r="B14" s="5" t="s">
        <v>59</v>
      </c>
      <c r="C14" s="5" t="s">
        <v>60</v>
      </c>
      <c r="D14" s="6">
        <v>7</v>
      </c>
      <c r="E14" s="6">
        <v>6</v>
      </c>
      <c r="F14" s="6">
        <f t="shared" si="0"/>
        <v>1</v>
      </c>
      <c r="G14" s="7">
        <v>35</v>
      </c>
    </row>
    <row r="15" spans="1:12" ht="15.75" customHeight="1" x14ac:dyDescent="0.25">
      <c r="A15" s="4" t="s">
        <v>89</v>
      </c>
      <c r="B15" s="5" t="s">
        <v>51</v>
      </c>
      <c r="C15" s="5" t="s">
        <v>60</v>
      </c>
      <c r="D15" s="6">
        <v>8</v>
      </c>
      <c r="E15" s="6">
        <v>8</v>
      </c>
      <c r="F15" s="6" t="str">
        <f t="shared" si="0"/>
        <v xml:space="preserve"> </v>
      </c>
      <c r="G15" s="7">
        <v>100</v>
      </c>
    </row>
    <row r="16" spans="1:12" ht="15" x14ac:dyDescent="0.25">
      <c r="A16" s="4" t="s">
        <v>90</v>
      </c>
      <c r="B16" s="5" t="s">
        <v>30</v>
      </c>
      <c r="C16" s="5" t="s">
        <v>23</v>
      </c>
      <c r="D16" s="6">
        <v>3</v>
      </c>
      <c r="E16" s="6">
        <v>1</v>
      </c>
      <c r="F16" s="6">
        <f t="shared" si="0"/>
        <v>2</v>
      </c>
      <c r="G16" s="7">
        <v>300</v>
      </c>
      <c r="L16" s="8"/>
    </row>
    <row r="17" spans="1:12" ht="15.75" customHeight="1" x14ac:dyDescent="0.25">
      <c r="A17" s="4" t="s">
        <v>91</v>
      </c>
      <c r="B17" s="5" t="s">
        <v>52</v>
      </c>
      <c r="C17" s="5" t="s">
        <v>60</v>
      </c>
      <c r="D17" s="6">
        <v>9</v>
      </c>
      <c r="E17" s="6">
        <v>9</v>
      </c>
      <c r="F17" s="6" t="str">
        <f t="shared" si="0"/>
        <v xml:space="preserve"> </v>
      </c>
      <c r="G17" s="7">
        <v>34</v>
      </c>
    </row>
    <row r="18" spans="1:12" ht="15.75" customHeight="1" x14ac:dyDescent="0.25">
      <c r="A18" s="4" t="s">
        <v>92</v>
      </c>
      <c r="B18" s="5" t="s">
        <v>53</v>
      </c>
      <c r="C18" s="5" t="s">
        <v>60</v>
      </c>
      <c r="D18" s="6">
        <v>4</v>
      </c>
      <c r="E18" s="6">
        <v>3</v>
      </c>
      <c r="F18" s="6">
        <f t="shared" si="0"/>
        <v>1</v>
      </c>
      <c r="G18" s="7">
        <v>32</v>
      </c>
    </row>
    <row r="19" spans="1:12" ht="15" x14ac:dyDescent="0.25">
      <c r="A19" s="4" t="s">
        <v>93</v>
      </c>
      <c r="B19" s="5" t="s">
        <v>29</v>
      </c>
      <c r="C19" s="5" t="s">
        <v>26</v>
      </c>
      <c r="D19" s="6">
        <v>4</v>
      </c>
      <c r="E19" s="6">
        <v>7</v>
      </c>
      <c r="F19" s="6">
        <f t="shared" si="0"/>
        <v>-3</v>
      </c>
      <c r="G19" s="7">
        <v>30</v>
      </c>
      <c r="L19" s="8"/>
    </row>
    <row r="20" spans="1:12" ht="15.75" customHeight="1" x14ac:dyDescent="0.25">
      <c r="A20" s="4" t="s">
        <v>94</v>
      </c>
      <c r="B20" s="5" t="s">
        <v>54</v>
      </c>
      <c r="C20" s="5" t="s">
        <v>60</v>
      </c>
      <c r="D20" s="6">
        <v>23</v>
      </c>
      <c r="E20" s="6">
        <v>5</v>
      </c>
      <c r="F20" s="6">
        <f t="shared" si="0"/>
        <v>18</v>
      </c>
      <c r="G20" s="7">
        <v>23</v>
      </c>
    </row>
    <row r="21" spans="1:12" ht="15" x14ac:dyDescent="0.25">
      <c r="A21" s="4" t="s">
        <v>95</v>
      </c>
      <c r="B21" s="5" t="s">
        <v>55</v>
      </c>
      <c r="C21" s="5" t="s">
        <v>60</v>
      </c>
      <c r="D21" s="6">
        <v>4</v>
      </c>
      <c r="E21" s="6">
        <v>4</v>
      </c>
      <c r="F21" s="6" t="str">
        <f t="shared" si="0"/>
        <v xml:space="preserve"> </v>
      </c>
      <c r="G21" s="7">
        <v>57</v>
      </c>
    </row>
    <row r="22" spans="1:12" ht="15" x14ac:dyDescent="0.25">
      <c r="A22" s="4" t="s">
        <v>96</v>
      </c>
      <c r="B22" s="5" t="s">
        <v>56</v>
      </c>
      <c r="C22" s="5" t="s">
        <v>60</v>
      </c>
      <c r="D22" s="6">
        <v>5</v>
      </c>
      <c r="E22" s="6">
        <v>5</v>
      </c>
      <c r="F22" s="6" t="str">
        <f t="shared" si="0"/>
        <v xml:space="preserve"> </v>
      </c>
      <c r="G22" s="7">
        <v>67</v>
      </c>
    </row>
    <row r="23" spans="1:12" ht="15" customHeight="1" thickBot="1" x14ac:dyDescent="0.3">
      <c r="A23" s="9" t="s">
        <v>97</v>
      </c>
      <c r="B23" s="9" t="s">
        <v>31</v>
      </c>
      <c r="C23" s="9" t="s">
        <v>28</v>
      </c>
      <c r="D23" s="10">
        <v>15</v>
      </c>
      <c r="E23" s="10">
        <v>4</v>
      </c>
      <c r="F23" s="10">
        <f t="shared" si="0"/>
        <v>11</v>
      </c>
      <c r="G23" s="11">
        <v>75</v>
      </c>
      <c r="J23" s="12"/>
      <c r="L23" s="8"/>
    </row>
    <row r="24" spans="1:12" s="13" customFormat="1" ht="24.95" customHeight="1" thickTop="1" x14ac:dyDescent="0.25">
      <c r="J24" s="12"/>
      <c r="L24" s="8"/>
    </row>
    <row r="25" spans="1:12" s="13" customFormat="1" ht="24.95" customHeight="1" x14ac:dyDescent="0.25">
      <c r="J25" s="12"/>
      <c r="L25" s="8"/>
    </row>
    <row r="26" spans="1:12" ht="15" x14ac:dyDescent="0.25">
      <c r="B26" s="14"/>
      <c r="C26" s="14"/>
      <c r="F26" s="15" t="s">
        <v>32</v>
      </c>
      <c r="G26" s="1">
        <f>COUNTA(B2:B23)</f>
        <v>22</v>
      </c>
    </row>
    <row r="27" spans="1:12" ht="15" x14ac:dyDescent="0.25">
      <c r="B27" s="14"/>
      <c r="C27" s="14"/>
      <c r="F27" s="15" t="s">
        <v>33</v>
      </c>
      <c r="G27" s="1">
        <f>COUNTIF(C2:C23,"Electronica")</f>
        <v>5</v>
      </c>
    </row>
    <row r="28" spans="1:12" ht="15" x14ac:dyDescent="0.25">
      <c r="B28" s="14"/>
      <c r="C28" s="14"/>
      <c r="F28" s="15" t="s">
        <v>34</v>
      </c>
      <c r="G28" s="1">
        <f>COUNTIF(F2:F23,"&gt;=10")</f>
        <v>8</v>
      </c>
    </row>
    <row r="29" spans="1:12" ht="15" x14ac:dyDescent="0.25">
      <c r="B29" s="14"/>
      <c r="C29" s="14"/>
      <c r="F29" s="15" t="s">
        <v>35</v>
      </c>
      <c r="G29" s="1">
        <f>COUNTIF(F2:F23,"&lt;=0")</f>
        <v>4</v>
      </c>
    </row>
    <row r="30" spans="1:12" ht="15" x14ac:dyDescent="0.25">
      <c r="B30" s="14"/>
      <c r="C30" s="14"/>
      <c r="F30" s="15" t="s">
        <v>36</v>
      </c>
      <c r="G30" s="1">
        <f>SUMIF(C2:C23,"Moda",F2:F23)</f>
        <v>8</v>
      </c>
    </row>
    <row r="31" spans="1:12" ht="15" x14ac:dyDescent="0.25">
      <c r="B31" s="14"/>
      <c r="C31" s="14"/>
      <c r="F31" s="15" t="s">
        <v>37</v>
      </c>
      <c r="G31" s="1">
        <f>MAX(D2:D23)</f>
        <v>45</v>
      </c>
    </row>
    <row r="32" spans="1:12" ht="15" x14ac:dyDescent="0.25">
      <c r="F32" s="15" t="s">
        <v>65</v>
      </c>
      <c r="G32" s="77">
        <f>MAX(G2:G23)</f>
        <v>1000</v>
      </c>
    </row>
    <row r="33" spans="6:7" ht="15" x14ac:dyDescent="0.25">
      <c r="F33" s="26" t="s">
        <v>66</v>
      </c>
      <c r="G33" s="77">
        <f>MIN(G2:G23)</f>
        <v>5</v>
      </c>
    </row>
    <row r="34" spans="6:7" ht="15" x14ac:dyDescent="0.25">
      <c r="F34" s="26" t="s">
        <v>67</v>
      </c>
      <c r="G34" s="1">
        <f>AVERAGEIF(C2:C23,"Informática",D2:D23)</f>
        <v>11.3</v>
      </c>
    </row>
    <row r="35" spans="6:7" ht="15" x14ac:dyDescent="0.25">
      <c r="F35" s="26" t="s">
        <v>68</v>
      </c>
      <c r="G35" s="1">
        <f>SUMIF(C2:C23,"Informática",E2:E23)+SUMIF(C2:C23,"Electronica",E2:E23)</f>
        <v>85</v>
      </c>
    </row>
  </sheetData>
  <pageMargins left="0.75" right="0.75" top="1" bottom="1" header="0" footer="0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"/>
  <sheetViews>
    <sheetView showGridLines="0" tabSelected="1" workbookViewId="0">
      <selection activeCell="B13" sqref="B13"/>
    </sheetView>
  </sheetViews>
  <sheetFormatPr baseColWidth="10" defaultRowHeight="12.75" x14ac:dyDescent="0.2"/>
  <cols>
    <col min="1" max="1" width="15" bestFit="1" customWidth="1"/>
    <col min="2" max="2" width="31" customWidth="1"/>
    <col min="4" max="4" width="26.5703125" customWidth="1"/>
  </cols>
  <sheetData>
    <row r="1" spans="1:6" ht="31.5" customHeight="1" thickTop="1" x14ac:dyDescent="0.2">
      <c r="A1" s="68" t="s">
        <v>0</v>
      </c>
      <c r="B1" s="69"/>
      <c r="C1" s="69"/>
      <c r="D1" s="70"/>
    </row>
    <row r="2" spans="1:6" ht="13.5" thickBot="1" x14ac:dyDescent="0.25">
      <c r="A2" s="55"/>
      <c r="B2" s="56"/>
      <c r="C2" s="56"/>
      <c r="D2" s="57"/>
    </row>
    <row r="3" spans="1:6" ht="15.75" thickBot="1" x14ac:dyDescent="0.3">
      <c r="A3" s="58" t="s">
        <v>1</v>
      </c>
      <c r="B3" s="78"/>
      <c r="C3" s="59"/>
      <c r="D3" s="60"/>
    </row>
    <row r="4" spans="1:6" ht="15.75" thickBot="1" x14ac:dyDescent="0.3">
      <c r="A4" s="58" t="s">
        <v>70</v>
      </c>
      <c r="B4" s="63" t="e">
        <f>VLOOKUP(B3,'BD VENDEDORES'!A4:C11,2,FALSE)</f>
        <v>#N/A</v>
      </c>
      <c r="C4" s="61" t="s">
        <v>40</v>
      </c>
      <c r="D4" s="64" t="e">
        <f>VLOOKUP(B3,'BD VENDEDORES'!A4:C11,3,FALSE)</f>
        <v>#N/A</v>
      </c>
    </row>
    <row r="5" spans="1:6" ht="15" x14ac:dyDescent="0.25">
      <c r="A5" s="62"/>
      <c r="B5" s="59"/>
      <c r="C5" s="59"/>
      <c r="D5" s="60"/>
    </row>
    <row r="6" spans="1:6" ht="15.75" customHeight="1" x14ac:dyDescent="0.25">
      <c r="A6" s="40" t="s">
        <v>69</v>
      </c>
      <c r="B6" s="41"/>
      <c r="C6" s="28" t="s">
        <v>2</v>
      </c>
      <c r="D6" s="33"/>
    </row>
    <row r="7" spans="1:6" s="13" customFormat="1" ht="23.25" customHeight="1" x14ac:dyDescent="0.2">
      <c r="A7" s="42" t="s">
        <v>3</v>
      </c>
      <c r="B7" s="43" t="s">
        <v>4</v>
      </c>
      <c r="C7" s="43" t="s">
        <v>5</v>
      </c>
      <c r="D7" s="44" t="s">
        <v>6</v>
      </c>
    </row>
    <row r="8" spans="1:6" ht="15" x14ac:dyDescent="0.25">
      <c r="A8" s="45" t="s">
        <v>79</v>
      </c>
      <c r="B8" s="46"/>
      <c r="C8" s="47">
        <f>VLOOKUP(A8,'BD ARTICULOS'!$A$2:$G$23,7,FALSE)</f>
        <v>200</v>
      </c>
      <c r="D8" s="48">
        <f>B8*C8</f>
        <v>0</v>
      </c>
      <c r="F8" s="2"/>
    </row>
    <row r="9" spans="1:6" ht="15" x14ac:dyDescent="0.25">
      <c r="A9" s="45" t="s">
        <v>80</v>
      </c>
      <c r="B9" s="46"/>
      <c r="C9" s="47">
        <f>VLOOKUP(A9,'BD ARTICULOS'!$A$2:$G$23,7,FALSE)</f>
        <v>50</v>
      </c>
      <c r="D9" s="48">
        <f t="shared" ref="D9:D19" si="0">B9*C9</f>
        <v>0</v>
      </c>
      <c r="F9" s="2"/>
    </row>
    <row r="10" spans="1:6" ht="15" x14ac:dyDescent="0.25">
      <c r="A10" s="45" t="s">
        <v>81</v>
      </c>
      <c r="B10" s="46"/>
      <c r="C10" s="47">
        <f>VLOOKUP(A10,'BD ARTICULOS'!$A$2:$G$23,7,FALSE)</f>
        <v>20</v>
      </c>
      <c r="D10" s="48">
        <f t="shared" si="0"/>
        <v>0</v>
      </c>
      <c r="F10" s="2"/>
    </row>
    <row r="11" spans="1:6" ht="15" x14ac:dyDescent="0.25">
      <c r="A11" s="45" t="s">
        <v>82</v>
      </c>
      <c r="B11" s="46"/>
      <c r="C11" s="47">
        <f>VLOOKUP(A11,'BD ARTICULOS'!$A$2:$G$23,7,FALSE)</f>
        <v>5</v>
      </c>
      <c r="D11" s="48">
        <f t="shared" si="0"/>
        <v>0</v>
      </c>
      <c r="F11" s="2"/>
    </row>
    <row r="12" spans="1:6" ht="15" x14ac:dyDescent="0.25">
      <c r="A12" s="45" t="s">
        <v>83</v>
      </c>
      <c r="B12" s="46"/>
      <c r="C12" s="47">
        <f>VLOOKUP(A12,'BD ARTICULOS'!$A$2:$G$23,7,FALSE)</f>
        <v>45</v>
      </c>
      <c r="D12" s="48">
        <f t="shared" si="0"/>
        <v>0</v>
      </c>
      <c r="F12" s="2"/>
    </row>
    <row r="13" spans="1:6" ht="15" x14ac:dyDescent="0.25">
      <c r="A13" s="45" t="s">
        <v>84</v>
      </c>
      <c r="B13" s="46"/>
      <c r="C13" s="47">
        <f>VLOOKUP(A13,'BD ARTICULOS'!$A$2:$G$23,7,FALSE)</f>
        <v>35</v>
      </c>
      <c r="D13" s="48">
        <f t="shared" si="0"/>
        <v>0</v>
      </c>
      <c r="F13" s="2"/>
    </row>
    <row r="14" spans="1:6" ht="15" x14ac:dyDescent="0.25">
      <c r="A14" s="45" t="s">
        <v>85</v>
      </c>
      <c r="B14" s="46"/>
      <c r="C14" s="47">
        <f>VLOOKUP(A14,'BD ARTICULOS'!$A$2:$G$23,7,FALSE)</f>
        <v>37</v>
      </c>
      <c r="D14" s="48">
        <f t="shared" si="0"/>
        <v>0</v>
      </c>
      <c r="F14" s="2"/>
    </row>
    <row r="15" spans="1:6" ht="15" x14ac:dyDescent="0.25">
      <c r="A15" s="45" t="s">
        <v>86</v>
      </c>
      <c r="B15" s="46"/>
      <c r="C15" s="47">
        <f>VLOOKUP(A15,'BD ARTICULOS'!$A$2:$G$23,7,FALSE)</f>
        <v>65</v>
      </c>
      <c r="D15" s="48">
        <f t="shared" si="0"/>
        <v>0</v>
      </c>
      <c r="F15" s="2"/>
    </row>
    <row r="16" spans="1:6" ht="15" x14ac:dyDescent="0.25">
      <c r="A16" s="45" t="s">
        <v>87</v>
      </c>
      <c r="B16" s="46"/>
      <c r="C16" s="47">
        <f>VLOOKUP(A16,'BD ARTICULOS'!$A$2:$G$23,7,FALSE)</f>
        <v>30</v>
      </c>
      <c r="D16" s="48">
        <f t="shared" si="0"/>
        <v>0</v>
      </c>
    </row>
    <row r="17" spans="1:4" ht="15" x14ac:dyDescent="0.25">
      <c r="A17" s="45" t="s">
        <v>88</v>
      </c>
      <c r="B17" s="46"/>
      <c r="C17" s="47">
        <f>VLOOKUP(A17,'BD ARTICULOS'!$A$2:$G$23,7,FALSE)</f>
        <v>35</v>
      </c>
      <c r="D17" s="48">
        <f t="shared" si="0"/>
        <v>0</v>
      </c>
    </row>
    <row r="18" spans="1:4" ht="15.75" thickBot="1" x14ac:dyDescent="0.3">
      <c r="A18" s="45" t="s">
        <v>89</v>
      </c>
      <c r="B18" s="49"/>
      <c r="C18" s="47">
        <f>VLOOKUP(A18,'BD ARTICULOS'!$A$2:$G$23,7,FALSE)</f>
        <v>100</v>
      </c>
      <c r="D18" s="48">
        <f t="shared" si="0"/>
        <v>0</v>
      </c>
    </row>
    <row r="19" spans="1:4" ht="15.75" thickTop="1" x14ac:dyDescent="0.25">
      <c r="A19" s="71" t="s">
        <v>7</v>
      </c>
      <c r="B19" s="72"/>
      <c r="C19" s="72"/>
      <c r="D19" s="48">
        <f>SUM(D8:D18)</f>
        <v>0</v>
      </c>
    </row>
    <row r="20" spans="1:4" ht="15" x14ac:dyDescent="0.25">
      <c r="A20" s="30"/>
      <c r="B20" s="28"/>
      <c r="C20" s="28"/>
      <c r="D20" s="50"/>
    </row>
    <row r="21" spans="1:4" ht="15" x14ac:dyDescent="0.25">
      <c r="A21" s="73" t="s">
        <v>8</v>
      </c>
      <c r="B21" s="74"/>
      <c r="C21" s="74"/>
      <c r="D21" s="54" t="s">
        <v>98</v>
      </c>
    </row>
    <row r="22" spans="1:4" ht="15" x14ac:dyDescent="0.25">
      <c r="A22" s="31"/>
      <c r="B22" s="29"/>
      <c r="C22" s="28"/>
      <c r="D22" s="50"/>
    </row>
    <row r="23" spans="1:4" ht="15" x14ac:dyDescent="0.25">
      <c r="A23" s="73" t="s">
        <v>9</v>
      </c>
      <c r="B23" s="74"/>
      <c r="C23" s="74"/>
      <c r="D23" s="51">
        <f>IF(D21="CONTADO",D19*5%,0)</f>
        <v>0</v>
      </c>
    </row>
    <row r="24" spans="1:4" ht="15" x14ac:dyDescent="0.25">
      <c r="A24" s="30"/>
      <c r="B24" s="28"/>
      <c r="C24" s="28"/>
      <c r="D24" s="50"/>
    </row>
    <row r="25" spans="1:4" ht="15" x14ac:dyDescent="0.25">
      <c r="A25" s="30"/>
      <c r="B25" s="28"/>
      <c r="C25" s="28" t="s">
        <v>10</v>
      </c>
      <c r="D25" s="51">
        <f>D19-D23</f>
        <v>0</v>
      </c>
    </row>
    <row r="26" spans="1:4" ht="15" x14ac:dyDescent="0.25">
      <c r="A26" s="30"/>
      <c r="B26" s="28"/>
      <c r="C26" s="28"/>
      <c r="D26" s="52"/>
    </row>
    <row r="27" spans="1:4" ht="15" x14ac:dyDescent="0.25">
      <c r="A27" s="30"/>
      <c r="B27" s="28"/>
      <c r="C27" s="28"/>
      <c r="D27" s="52"/>
    </row>
    <row r="28" spans="1:4" ht="15" x14ac:dyDescent="0.25">
      <c r="A28" s="73" t="s">
        <v>11</v>
      </c>
      <c r="B28" s="74"/>
      <c r="C28" s="74"/>
      <c r="D28" s="52">
        <v>3000</v>
      </c>
    </row>
    <row r="29" spans="1:4" ht="15.75" thickBot="1" x14ac:dyDescent="0.3">
      <c r="A29" s="75" t="s">
        <v>12</v>
      </c>
      <c r="B29" s="76"/>
      <c r="C29" s="76"/>
      <c r="D29" s="53">
        <f>D28-D25</f>
        <v>3000</v>
      </c>
    </row>
    <row r="30" spans="1:4" ht="15.75" thickTop="1" x14ac:dyDescent="0.25">
      <c r="A30" s="65" t="s">
        <v>13</v>
      </c>
      <c r="B30" s="66"/>
      <c r="C30" s="66"/>
      <c r="D30" s="67"/>
    </row>
    <row r="31" spans="1:4" ht="15" x14ac:dyDescent="0.25">
      <c r="A31" s="32"/>
      <c r="B31" s="27"/>
      <c r="C31" s="27"/>
      <c r="D31" s="33"/>
    </row>
    <row r="32" spans="1:4" ht="15" x14ac:dyDescent="0.25">
      <c r="A32" s="32"/>
      <c r="B32" s="27"/>
      <c r="C32" s="27"/>
      <c r="D32" s="33"/>
    </row>
    <row r="33" spans="1:4" ht="15.75" thickBot="1" x14ac:dyDescent="0.3">
      <c r="A33" s="34"/>
      <c r="B33" s="35"/>
      <c r="C33" s="35" t="s">
        <v>14</v>
      </c>
      <c r="D33" s="36"/>
    </row>
    <row r="34" spans="1:4" ht="13.5" thickTop="1" x14ac:dyDescent="0.2"/>
  </sheetData>
  <mergeCells count="7">
    <mergeCell ref="A30:D30"/>
    <mergeCell ref="A1:D1"/>
    <mergeCell ref="A19:C19"/>
    <mergeCell ref="A21:C21"/>
    <mergeCell ref="A23:C23"/>
    <mergeCell ref="A28:C28"/>
    <mergeCell ref="A29:C29"/>
  </mergeCells>
  <conditionalFormatting sqref="D25">
    <cfRule type="cellIs" dxfId="0" priority="2" operator="greaterThan">
      <formula>100</formula>
    </cfRule>
    <cfRule type="cellIs" dxfId="1" priority="1" operator="lessThan">
      <formula>100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BD VENDEDORES</vt:lpstr>
      <vt:lpstr>BD ARTICULOS</vt:lpstr>
      <vt:lpstr>ticket de caja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SMR1</cp:lastModifiedBy>
  <dcterms:created xsi:type="dcterms:W3CDTF">2017-02-15T06:50:12Z</dcterms:created>
  <dcterms:modified xsi:type="dcterms:W3CDTF">2024-01-29T11:55:01Z</dcterms:modified>
</cp:coreProperties>
</file>